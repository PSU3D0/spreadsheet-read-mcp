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<sst xmlns="http://schemas.openxmlformats.org/spreadsheetml/2006/main" count="15" uniqueCount="15">
  <si>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ACME Corp — FY2026 Operating Summary</t>
    <phoneticPr fontId="1"/>
  </si>
  <si>
    <t>Segment</t>
    <phoneticPr fontId="1"/>
  </si>
  <si>
    <t>Revenue</t>
    <phoneticPr fontId="1"/>
  </si>
  <si>
    <t>COGS</t>
    <phoneticPr fontId="1"/>
  </si>
  <si>
    <t>Gross Margin</t>
    <phoneticPr fontId="1"/>
  </si>
  <si>
    <t>Margin %</t>
    <phoneticPr fontId="1"/>
  </si>
  <si>
    <t>YoY</t>
    <phoneticPr fontId="1"/>
  </si>
  <si>
    <t>Cloud Platform</t>
    <phoneticPr fontId="1"/>
  </si>
  <si>
    <t>Professional Services</t>
    <phoneticPr fontId="1"/>
  </si>
  <si>
    <t>Hardware</t>
    <phoneticPr fontId="1"/>
  </si>
  <si>
    <t>Support &amp; Maintenance</t>
    <phoneticPr fontId="1"/>
  </si>
  <si>
    <t>Other</t>
    <phoneticPr fontId="1"/>
  </si>
  <si>
    <t>Total</t>
    <phoneticPr fontId="1"/>
  </si>
  <si>
    <t>Note</t>
    <phoneticPr fontId="1"/>
  </si>
  <si>
    <t>Margins are unaudited; hardware includes a one-off inventory write-down of $1.2M recognised in Q3.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</si>
</sst>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0.0%;[Red]-0.0%"/>
    <numFmt numFmtId="176" formatCode="&quot;$&quot;#,##0"/>
  </numFmts>
  <fonts count="6" x14ac:knownFonts="1">
    <font>
      <sz val="11"/>
      <color theme="1"/>
      <name val="Calibri"/>
      <family val="2"/>
      <scheme val="minor"/>
    </font>
    <font>
      <b/>
      <sz val="18"/>
      <color indexed="1"/>
      <name val="Georgia"/>
      <family val="2"/>
      <scheme val="none"/>
    </font>
    <font>
      <b/>
      <sz val="11"/>
      <color indexed="1"/>
      <name val="Calibri"/>
      <family val="2"/>
      <scheme val="minor"/>
    </font>
    <font>
      <sz val="10"/>
      <color theme="1"/>
      <name val="Verdana"/>
      <family val="2"/>
      <scheme val="none"/>
    </font>
    <font>
      <b/>
      <sz val="11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double">
        <color rgb="FF1F3864"/>
      </top>
      <bottom/>
      <diagonal/>
    </border>
  </borders>
  <cellXfs count="11">
    <xf numFmtId="0" fontId="0" fillId="0" borderId="0" xfId="0" applyFont="1" applyFill="1" applyBorder="1"/>
    <xf numFmtId="0" fontId="0" fillId="1" borderId="0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4" fillId="4" borderId="2" xfId="0" applyFont="1" applyFill="1" applyBorder="1"/>
    <xf numFmtId="176" fontId="4" fillId="4" borderId="2" xfId="0" applyFont="1" applyNumberFormat="1" applyFill="1" applyBorder="1" applyAlignment="1">
      <alignment horizontal="right"/>
    </xf>
    <xf numFmtId="177" fontId="4" fillId="4" borderId="2" xfId="0" applyFont="1" applyNumberFormat="1" applyFill="1" applyBorder="1" applyAlignment="1">
      <alignment horizontal="right"/>
    </xf>
    <xf numFmtId="0" fontId="5" fillId="0" borderId="0" xfId="0" applyFont="1" applyAlignment="1">
      <alignment vertical="top" wrapText="1"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3.5" x14ac:dyDescent="0.15"/>
  <cols>
    <col min="1" max="1" width="26" customWidth="1"/>
    <col min="2" max="4" width="16" customWidth="1"/>
    <col min="5" max="6" width="11" customWidth="1"/>
  </cols>
  <sheetData>
    <row r="1" spans="1:6">
      <c r="A1" t="s" s="2">
        <v>0</v>
      </c>
      <c r="B1" s="2"/>
      <c r="C1" s="2"/>
      <c r="D1" s="2"/>
      <c r="E1" s="2"/>
      <c r="F1" s="2"/>
    </row>
    <row r="3" spans="1:6">
      <c r="A3" t="s" s="3">
        <v>1</v>
      </c>
      <c r="B3" t="s" s="3">
        <v>2</v>
      </c>
      <c r="C3" t="s" s="3">
        <v>3</v>
      </c>
      <c r="D3" t="s" s="3">
        <v>4</v>
      </c>
      <c r="E3" t="s" s="3">
        <v>5</v>
      </c>
      <c r="F3" t="s" s="3">
        <v>6</v>
      </c>
    </row>
    <row r="4" spans="1:6">
      <c r="A4" t="s" s="4">
        <v>7</v>
      </c>
      <c r="B4" s="5">
        <v>12450000</v>
      </c>
      <c r="C4" s="5">
        <v>5320000</v>
      </c>
      <c r="D4" s="5">
        <v>7130000</v>
      </c>
      <c r="E4" s="6">
        <v>0.5727</v>
      </c>
      <c r="F4" s="6">
        <v>0.184</v>
      </c>
    </row>
    <row r="5" spans="1:6">
      <c r="A5" t="s" s="4">
        <v>8</v>
      </c>
      <c r="B5" s="5">
        <v>4210000</v>
      </c>
      <c r="C5" s="5">
        <v>3110000</v>
      </c>
      <c r="D5" s="5">
        <v>1100000</v>
      </c>
      <c r="E5" s="6">
        <v>0.2613</v>
      </c>
      <c r="F5" s="6">
        <v>-0.032</v>
      </c>
    </row>
    <row r="6" spans="1:6">
      <c r="A6" t="s" s="4">
        <v>9</v>
      </c>
      <c r="B6" s="5">
        <v>8900000</v>
      </c>
      <c r="C6" s="5">
        <v>7450000</v>
      </c>
      <c r="D6" s="5">
        <v>1450000</v>
      </c>
      <c r="E6" s="6">
        <v>0.1629</v>
      </c>
      <c r="F6" s="6">
        <v>0.071</v>
      </c>
    </row>
    <row r="7" spans="1:6">
      <c r="A7" t="s" s="4">
        <v>10</v>
      </c>
      <c r="B7" s="5">
        <v>3300000</v>
      </c>
      <c r="C7" s="5">
        <v>900000</v>
      </c>
      <c r="D7" s="5">
        <v>2400000</v>
      </c>
      <c r="E7" s="6">
        <v>0.7273</v>
      </c>
      <c r="F7" s="6">
        <v>0.115</v>
      </c>
    </row>
    <row r="8" spans="1:6">
      <c r="A8" t="s" s="4">
        <v>11</v>
      </c>
      <c r="B8" s="5">
        <v>150000</v>
      </c>
      <c r="C8" s="5">
        <v>60000</v>
      </c>
      <c r="D8" s="5">
        <v>90000</v>
      </c>
      <c r="E8" s="6">
        <v>0.6</v>
      </c>
      <c r="F8" s="6">
        <v>0</v>
      </c>
    </row>
    <row r="9" spans="1:6">
      <c r="A9" t="s" s="7">
        <v>12</v>
      </c>
      <c r="B9" t="str" s="8">
        <f>SUM(B4:B8)</f>
        <v/>
      </c>
      <c r="C9" t="str" s="8">
        <f>SUM(C4:C8)</f>
        <v/>
      </c>
      <c r="D9" t="str" s="8">
        <f>SUM(D4:D8)</f>
        <v/>
      </c>
      <c r="E9" t="str" s="9">
        <f>D9/B9</f>
        <v/>
      </c>
      <c r="F9" s="9"/>
    </row>
    <row r="11" spans="1:6">
      <c r="A11" t="s">
        <v>13</v>
      </c>
      <c r="B11" t="s" s="10">
        <v>14</v>
      </c>
      <c r="C11" s="10"/>
      <c r="D11" s="10"/>
      <c r="E11" s="10"/>
      <c r="F11" s="10"/>
    </row>
  </sheetData>
  <mergeCells count="2">
    <mergeCell ref="A1:F1"/>
    <mergeCell ref="B11:F11"/>
  </mergeCells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